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excel projects\"/>
    </mc:Choice>
  </mc:AlternateContent>
  <xr:revisionPtr revIDLastSave="0" documentId="13_ncr:1_{55955D10-39E0-45E5-A571-EACF8195A663}" xr6:coauthVersionLast="47" xr6:coauthVersionMax="47" xr10:uidLastSave="{00000000-0000-0000-0000-000000000000}"/>
  <bookViews>
    <workbookView xWindow="-120" yWindow="-120" windowWidth="29040" windowHeight="15720" xr2:uid="{E224386E-E7AF-4A10-B41E-1DB7443B8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7" i="1" l="1"/>
  <c r="K27" i="1"/>
  <c r="J27" i="1"/>
  <c r="I27" i="1"/>
  <c r="L26" i="1"/>
  <c r="K26" i="1"/>
  <c r="J26" i="1"/>
  <c r="I26" i="1"/>
  <c r="L25" i="1"/>
  <c r="K25" i="1"/>
  <c r="J25" i="1"/>
  <c r="I25" i="1"/>
  <c r="D25" i="1"/>
  <c r="E25" i="1"/>
  <c r="F25" i="1"/>
  <c r="D26" i="1"/>
  <c r="E26" i="1"/>
  <c r="F26" i="1"/>
  <c r="D27" i="1"/>
  <c r="E27" i="1"/>
  <c r="F27" i="1"/>
  <c r="C27" i="1"/>
  <c r="C26" i="1"/>
  <c r="C25" i="1"/>
  <c r="N5" i="1"/>
  <c r="N6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4" i="1"/>
  <c r="J4" i="1"/>
  <c r="K4" i="1"/>
  <c r="L4" i="1"/>
  <c r="J5" i="1"/>
  <c r="K5" i="1"/>
  <c r="L5" i="1"/>
  <c r="J6" i="1"/>
  <c r="K6" i="1"/>
  <c r="L6" i="1"/>
  <c r="J7" i="1"/>
  <c r="N7" i="1" s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4" i="1"/>
</calcChain>
</file>

<file path=xl/sharedStrings.xml><?xml version="1.0" encoding="utf-8"?>
<sst xmlns="http://schemas.openxmlformats.org/spreadsheetml/2006/main" count="56" uniqueCount="40">
  <si>
    <t>Gradebook</t>
  </si>
  <si>
    <t>First Name</t>
  </si>
  <si>
    <t>Last name</t>
  </si>
  <si>
    <t>Ayesha</t>
  </si>
  <si>
    <t>Khan</t>
  </si>
  <si>
    <t>Fatima</t>
  </si>
  <si>
    <t>Malik</t>
  </si>
  <si>
    <t>Zainab</t>
  </si>
  <si>
    <t>Ahmed</t>
  </si>
  <si>
    <t>Hira</t>
  </si>
  <si>
    <t>Shah</t>
  </si>
  <si>
    <t>Mahnoor</t>
  </si>
  <si>
    <t>Ali</t>
  </si>
  <si>
    <t>Maryam</t>
  </si>
  <si>
    <t>Raza</t>
  </si>
  <si>
    <t>Sana</t>
  </si>
  <si>
    <t>Sheikh</t>
  </si>
  <si>
    <t>Iqra</t>
  </si>
  <si>
    <t>Hussain</t>
  </si>
  <si>
    <t>Alina</t>
  </si>
  <si>
    <t>Tariq</t>
  </si>
  <si>
    <t>Anaya</t>
  </si>
  <si>
    <t>Javed</t>
  </si>
  <si>
    <t>Hassan</t>
  </si>
  <si>
    <t>Hamza</t>
  </si>
  <si>
    <t>Usman</t>
  </si>
  <si>
    <t>Bilal</t>
  </si>
  <si>
    <t>Abdullah</t>
  </si>
  <si>
    <t>Saad</t>
  </si>
  <si>
    <t>Zain</t>
  </si>
  <si>
    <t>Fahad</t>
  </si>
  <si>
    <t>Safety Test</t>
  </si>
  <si>
    <t>Company philosophy test</t>
  </si>
  <si>
    <t>Financial skills test</t>
  </si>
  <si>
    <t>Drug test</t>
  </si>
  <si>
    <t>Point Possible</t>
  </si>
  <si>
    <t>Fire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</si>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</sst>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textRotation="90" wrapText="1"/>
    </xf>
    <xf numFmtId="0" fontId="0" fillId="0" borderId="1" xfId="0" applyBorder="1" applyAlignment="1">
      <alignment textRotation="90"/>
    </xf>
    <xf numFmtId="9" fontId="0" fillId="0" borderId="0" xfId="1" applyFont="1"/>
    <xf numFmtId="0" fontId="0" fillId="0" borderId="2" xfId="0" applyFill="1" applyBorder="1" applyAlignment="1">
      <alignment textRotation="90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9.026640419947507E-2"/>
          <c:y val="2.8194444444444446E-2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Sheet1!$A$4:$A$23</c:f>
              <c:strCache>
                <c:ptCount val="20"/>
                <c:pt idx="0">
                  <c:v>Ayesha</c:v>
                </c:pt>
                <c:pt idx="1">
                  <c:v>Fatima</c:v>
                </c:pt>
                <c:pt idx="2">
                  <c:v>Zainab</c:v>
                </c:pt>
                <c:pt idx="3">
                  <c:v>Hira</c:v>
                </c:pt>
                <c:pt idx="4">
                  <c:v>Mahnoor</c:v>
                </c:pt>
                <c:pt idx="5">
                  <c:v>Maryam</c:v>
                </c:pt>
                <c:pt idx="6">
                  <c:v>Sana</c:v>
                </c:pt>
                <c:pt idx="7">
                  <c:v>Iqra</c:v>
                </c:pt>
                <c:pt idx="8">
                  <c:v>Alina</c:v>
                </c:pt>
                <c:pt idx="9">
                  <c:v>Anaya</c:v>
                </c:pt>
                <c:pt idx="10">
                  <c:v>Ahmed</c:v>
                </c:pt>
                <c:pt idx="11">
                  <c:v>Ali</c:v>
                </c:pt>
                <c:pt idx="12">
                  <c:v>Hamza</c:v>
                </c:pt>
                <c:pt idx="13">
                  <c:v>Usman</c:v>
                </c:pt>
                <c:pt idx="14">
                  <c:v>Hassan</c:v>
                </c:pt>
                <c:pt idx="15">
                  <c:v>Bilal</c:v>
                </c:pt>
                <c:pt idx="16">
                  <c:v>Abdullah</c:v>
                </c:pt>
                <c:pt idx="17">
                  <c:v>Saad</c:v>
                </c:pt>
                <c:pt idx="18">
                  <c:v>Zain</c:v>
                </c:pt>
                <c:pt idx="19">
                  <c:v>Fahad</c:v>
                </c:pt>
              </c:strCache>
            </c:strRef>
          </c:cat>
          <c:val>
            <c:numRef>
              <c:f>Sheet1!$C$4:$C$23</c:f>
              <c:numCache>
                <c:formatCode>General</c:formatCode>
                <c:ptCount val="20"/>
                <c:pt idx="0">
                  <c:v>10</c:v>
                </c:pt>
                <c:pt idx="1">
                  <c:v>7.5</c:v>
                </c:pt>
                <c:pt idx="2">
                  <c:v>9</c:v>
                </c:pt>
                <c:pt idx="3">
                  <c:v>6</c:v>
                </c:pt>
                <c:pt idx="4">
                  <c:v>8.5</c:v>
                </c:pt>
                <c:pt idx="5">
                  <c:v>7</c:v>
                </c:pt>
                <c:pt idx="6">
                  <c:v>10</c:v>
                </c:pt>
                <c:pt idx="7">
                  <c:v>8</c:v>
                </c:pt>
                <c:pt idx="8">
                  <c:v>6.5</c:v>
                </c:pt>
                <c:pt idx="9">
                  <c:v>9.5</c:v>
                </c:pt>
                <c:pt idx="10">
                  <c:v>7.5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7</c:v>
                </c:pt>
                <c:pt idx="15">
                  <c:v>8.5</c:v>
                </c:pt>
                <c:pt idx="16">
                  <c:v>10</c:v>
                </c:pt>
                <c:pt idx="17">
                  <c:v>6</c:v>
                </c:pt>
                <c:pt idx="18">
                  <c:v>7.5</c:v>
                </c:pt>
                <c:pt idx="1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0-446A-B75D-FA6534920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038272"/>
        <c:axId val="459216624"/>
      </c:barChart>
      <c:catAx>
        <c:axId val="37103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9216624"/>
        <c:crosses val="autoZero"/>
        <c:auto val="1"/>
        <c:lblAlgn val="ctr"/>
        <c:lblOffset val="100"/>
        <c:noMultiLvlLbl val="0"/>
      </c:catAx>
      <c:valAx>
        <c:axId val="45921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7103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Sheet1!$A$4:$A$23</c:f>
              <c:strCache>
                <c:ptCount val="20"/>
                <c:pt idx="0">
                  <c:v>Ayesha</c:v>
                </c:pt>
                <c:pt idx="1">
                  <c:v>Fatima</c:v>
                </c:pt>
                <c:pt idx="2">
                  <c:v>Zainab</c:v>
                </c:pt>
                <c:pt idx="3">
                  <c:v>Hira</c:v>
                </c:pt>
                <c:pt idx="4">
                  <c:v>Mahnoor</c:v>
                </c:pt>
                <c:pt idx="5">
                  <c:v>Maryam</c:v>
                </c:pt>
                <c:pt idx="6">
                  <c:v>Sana</c:v>
                </c:pt>
                <c:pt idx="7">
                  <c:v>Iqra</c:v>
                </c:pt>
                <c:pt idx="8">
                  <c:v>Alina</c:v>
                </c:pt>
                <c:pt idx="9">
                  <c:v>Anaya</c:v>
                </c:pt>
                <c:pt idx="10">
                  <c:v>Ahmed</c:v>
                </c:pt>
                <c:pt idx="11">
                  <c:v>Ali</c:v>
                </c:pt>
                <c:pt idx="12">
                  <c:v>Hamza</c:v>
                </c:pt>
                <c:pt idx="13">
                  <c:v>Usman</c:v>
                </c:pt>
                <c:pt idx="14">
                  <c:v>Hassan</c:v>
                </c:pt>
                <c:pt idx="15">
                  <c:v>Bilal</c:v>
                </c:pt>
                <c:pt idx="16">
                  <c:v>Abdullah</c:v>
                </c:pt>
                <c:pt idx="17">
                  <c:v>Saad</c:v>
                </c:pt>
                <c:pt idx="18">
                  <c:v>Zain</c:v>
                </c:pt>
                <c:pt idx="19">
                  <c:v>Fahad</c:v>
                </c:pt>
              </c:strCache>
            </c:strRef>
          </c:cat>
          <c:val>
            <c:numRef>
              <c:f>Sheet1!$D$4:$D$24</c:f>
              <c:numCache>
                <c:formatCode>General</c:formatCode>
                <c:ptCount val="21"/>
                <c:pt idx="0">
                  <c:v>18</c:v>
                </c:pt>
                <c:pt idx="1">
                  <c:v>17.5</c:v>
                </c:pt>
                <c:pt idx="2">
                  <c:v>16.5</c:v>
                </c:pt>
                <c:pt idx="3">
                  <c:v>17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14</c:v>
                </c:pt>
                <c:pt idx="8">
                  <c:v>7</c:v>
                </c:pt>
                <c:pt idx="9">
                  <c:v>15</c:v>
                </c:pt>
                <c:pt idx="10">
                  <c:v>9.8000000000000007</c:v>
                </c:pt>
                <c:pt idx="11">
                  <c:v>7</c:v>
                </c:pt>
                <c:pt idx="12">
                  <c:v>18</c:v>
                </c:pt>
                <c:pt idx="13">
                  <c:v>5</c:v>
                </c:pt>
                <c:pt idx="14">
                  <c:v>14</c:v>
                </c:pt>
                <c:pt idx="15">
                  <c:v>7.5</c:v>
                </c:pt>
                <c:pt idx="16">
                  <c:v>11.5</c:v>
                </c:pt>
                <c:pt idx="17">
                  <c:v>16</c:v>
                </c:pt>
                <c:pt idx="18">
                  <c:v>17</c:v>
                </c:pt>
                <c:pt idx="1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6-4262-B7A7-DFDBA4674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758432"/>
        <c:axId val="459225744"/>
      </c:barChart>
      <c:catAx>
        <c:axId val="48375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9225744"/>
        <c:crosses val="autoZero"/>
        <c:auto val="1"/>
        <c:lblAlgn val="ctr"/>
        <c:lblOffset val="100"/>
        <c:noMultiLvlLbl val="0"/>
      </c:catAx>
      <c:valAx>
        <c:axId val="45922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8375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0.11802092446777486"/>
          <c:w val="0.89030796150481195"/>
          <c:h val="0.631511009040536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Sheet1!$A$4:$A$23</c:f>
              <c:strCache>
                <c:ptCount val="20"/>
                <c:pt idx="0">
                  <c:v>Ayesha</c:v>
                </c:pt>
                <c:pt idx="1">
                  <c:v>Fatima</c:v>
                </c:pt>
                <c:pt idx="2">
                  <c:v>Zainab</c:v>
                </c:pt>
                <c:pt idx="3">
                  <c:v>Hira</c:v>
                </c:pt>
                <c:pt idx="4">
                  <c:v>Mahnoor</c:v>
                </c:pt>
                <c:pt idx="5">
                  <c:v>Maryam</c:v>
                </c:pt>
                <c:pt idx="6">
                  <c:v>Sana</c:v>
                </c:pt>
                <c:pt idx="7">
                  <c:v>Iqra</c:v>
                </c:pt>
                <c:pt idx="8">
                  <c:v>Alina</c:v>
                </c:pt>
                <c:pt idx="9">
                  <c:v>Anaya</c:v>
                </c:pt>
                <c:pt idx="10">
                  <c:v>Ahmed</c:v>
                </c:pt>
                <c:pt idx="11">
                  <c:v>Ali</c:v>
                </c:pt>
                <c:pt idx="12">
                  <c:v>Hamza</c:v>
                </c:pt>
                <c:pt idx="13">
                  <c:v>Usman</c:v>
                </c:pt>
                <c:pt idx="14">
                  <c:v>Hassan</c:v>
                </c:pt>
                <c:pt idx="15">
                  <c:v>Bilal</c:v>
                </c:pt>
                <c:pt idx="16">
                  <c:v>Abdullah</c:v>
                </c:pt>
                <c:pt idx="17">
                  <c:v>Saad</c:v>
                </c:pt>
                <c:pt idx="18">
                  <c:v>Zain</c:v>
                </c:pt>
                <c:pt idx="19">
                  <c:v>Fahad</c:v>
                </c:pt>
              </c:strCache>
            </c:strRef>
          </c:cat>
          <c:val>
            <c:numRef>
              <c:f>Sheet1!$E$4:$E$23</c:f>
              <c:numCache>
                <c:formatCode>General</c:formatCode>
                <c:ptCount val="20"/>
                <c:pt idx="0">
                  <c:v>90</c:v>
                </c:pt>
                <c:pt idx="1">
                  <c:v>83</c:v>
                </c:pt>
                <c:pt idx="2">
                  <c:v>79</c:v>
                </c:pt>
                <c:pt idx="3">
                  <c:v>46</c:v>
                </c:pt>
                <c:pt idx="4">
                  <c:v>64</c:v>
                </c:pt>
                <c:pt idx="5">
                  <c:v>28</c:v>
                </c:pt>
                <c:pt idx="6">
                  <c:v>59</c:v>
                </c:pt>
                <c:pt idx="7">
                  <c:v>70</c:v>
                </c:pt>
                <c:pt idx="8">
                  <c:v>88</c:v>
                </c:pt>
                <c:pt idx="9">
                  <c:v>99</c:v>
                </c:pt>
                <c:pt idx="10">
                  <c:v>84</c:v>
                </c:pt>
                <c:pt idx="11">
                  <c:v>99</c:v>
                </c:pt>
                <c:pt idx="12">
                  <c:v>89</c:v>
                </c:pt>
                <c:pt idx="13">
                  <c:v>79</c:v>
                </c:pt>
                <c:pt idx="14">
                  <c:v>69</c:v>
                </c:pt>
                <c:pt idx="15">
                  <c:v>59</c:v>
                </c:pt>
                <c:pt idx="16">
                  <c:v>60</c:v>
                </c:pt>
                <c:pt idx="17">
                  <c:v>44</c:v>
                </c:pt>
                <c:pt idx="18">
                  <c:v>78</c:v>
                </c:pt>
                <c:pt idx="1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3-43B3-AF4B-A4242D528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505984"/>
        <c:axId val="459226704"/>
      </c:barChart>
      <c:catAx>
        <c:axId val="4855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9226704"/>
        <c:crosses val="autoZero"/>
        <c:auto val="1"/>
        <c:lblAlgn val="ctr"/>
        <c:lblOffset val="100"/>
        <c:noMultiLvlLbl val="0"/>
      </c:catAx>
      <c:valAx>
        <c:axId val="45922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8550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161925</xdr:colOff>
      <xdr:row>1</xdr:row>
      <xdr:rowOff>109537</xdr:rowOff>
    </xdr:from>
    <xdr:to>
      <xdr:col>21</xdr:col>
      <xdr:colOff>466725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4EB4E-E7B0-D66F-ADF0-D1748163B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195262</xdr:colOff>
      <xdr:row>16</xdr:row>
      <xdr:rowOff>90487</xdr:rowOff>
    </xdr:from>
    <xdr:to>
      <xdr:col>21</xdr:col>
      <xdr:colOff>500062</xdr:colOff>
      <xdr:row>30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DEA1D4-5C3C-E317-D18A-E8E4610D4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4762</xdr:colOff>
      <xdr:row>1</xdr:row>
      <xdr:rowOff>138112</xdr:rowOff>
    </xdr:from>
    <xdr:to>
      <xdr:col>29</xdr:col>
      <xdr:colOff>309562</xdr:colOff>
      <xdr:row>16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A4EA48-F15D-C554-2FD4-8F8D5C748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D619-9F44-4D0C-AE1B-68EDE4F9AA72}">
  <sheetPr>
    <pageSetUpPr fitToPage="1"/>
  </sheetPr>
  <dimension ref="A1:N27"/>
  <sheetViews>
    <sheetView tabSelected="1" workbookViewId="0">
      <selection activeCell="H9" sqref="H9"/>
    </sheetView>
  </sheetViews>
  <sheetFormatPr defaultRowHeight="15" x14ac:dyDescent="0.25"/>
  <cols>
    <col min="1" max="1" width="12.28515625" customWidth="1"/>
    <col min="3" max="3" width="11.7109375" customWidth="1"/>
    <col min="4" max="4" width="7.42578125" customWidth="1"/>
    <col min="5" max="5" width="7.7109375" customWidth="1"/>
    <col min="6" max="6" width="7.28515625" customWidth="1"/>
  </cols>
  <sheetData>
    <row r="1" spans="1:14" ht="123.75" x14ac:dyDescent="0.25">
      <c r="A1" s="1" t="s">
        <v>0</v>
      </c>
      <c r="B1" s="1"/>
      <c r="C1" s="3" t="s">
        <v>31</v>
      </c>
      <c r="D1" s="4" t="s">
        <v>32</v>
      </c>
      <c r="E1" s="4" t="s">
        <v>33</v>
      </c>
      <c r="F1" s="4" t="s">
        <v>34</v>
      </c>
      <c r="I1" s="3" t="s">
        <v>31</v>
      </c>
      <c r="J1" s="4" t="s">
        <v>32</v>
      </c>
      <c r="K1" s="4" t="s">
        <v>33</v>
      </c>
      <c r="L1" s="4" t="s">
        <v>34</v>
      </c>
      <c r="N1" s="6" t="s">
        <v>36</v>
      </c>
    </row>
    <row r="2" spans="1:14" x14ac:dyDescent="0.25">
      <c r="A2" s="1"/>
      <c r="B2" s="1" t="s">
        <v>35</v>
      </c>
      <c r="C2" s="1">
        <v>10</v>
      </c>
      <c r="D2" s="1">
        <v>20</v>
      </c>
      <c r="E2" s="1">
        <v>100</v>
      </c>
      <c r="F2" s="1">
        <v>1</v>
      </c>
    </row>
    <row r="3" spans="1:14" x14ac:dyDescent="0.25">
      <c r="A3" s="1" t="s">
        <v>1</v>
      </c>
      <c r="B3" s="1" t="s">
        <v>2</v>
      </c>
      <c r="C3" s="1"/>
      <c r="D3" s="1"/>
      <c r="E3" s="1"/>
      <c r="F3" s="1"/>
    </row>
    <row r="4" spans="1:14" x14ac:dyDescent="0.25">
      <c r="A4" s="1" t="s">
        <v>3</v>
      </c>
      <c r="B4" s="1" t="s">
        <v>4</v>
      </c>
      <c r="C4" s="1">
        <v>10</v>
      </c>
      <c r="D4" s="1">
        <v>18</v>
      </c>
      <c r="E4" s="1">
        <v>90</v>
      </c>
      <c r="F4" s="1">
        <v>1</v>
      </c>
      <c r="I4" s="5">
        <f>C4/C$2</f>
        <v>1</v>
      </c>
      <c r="J4" s="5">
        <f t="shared" ref="J4:L19" si="0">D4/D$2</f>
        <v>0.9</v>
      </c>
      <c r="K4" s="5">
        <f t="shared" si="0"/>
        <v>0.9</v>
      </c>
      <c r="L4" s="5">
        <f t="shared" si="0"/>
        <v>1</v>
      </c>
      <c r="N4" s="5" t="b">
        <f>OR(I4&lt;0.5,J4&lt;0.5,K4&lt;0.5,L4&lt;0.5)</f>
        <v>0</v>
      </c>
    </row>
    <row r="5" spans="1:14" x14ac:dyDescent="0.25">
      <c r="A5" s="1" t="s">
        <v>5</v>
      </c>
      <c r="B5" s="1" t="s">
        <v>6</v>
      </c>
      <c r="C5" s="2">
        <v>7.5</v>
      </c>
      <c r="D5" s="2">
        <v>17.5</v>
      </c>
      <c r="E5" s="1">
        <v>83</v>
      </c>
      <c r="F5" s="1">
        <v>1</v>
      </c>
      <c r="I5" s="5">
        <f t="shared" ref="I5:I23" si="1">C5/C$2</f>
        <v>0.75</v>
      </c>
      <c r="J5" s="5">
        <f t="shared" si="0"/>
        <v>0.875</v>
      </c>
      <c r="K5" s="5">
        <f t="shared" si="0"/>
        <v>0.83</v>
      </c>
      <c r="L5" s="5">
        <f t="shared" si="0"/>
        <v>1</v>
      </c>
      <c r="N5" s="5" t="b">
        <f t="shared" ref="N5:N23" si="2">OR(I5&lt;0.5,J5&lt;0.5,K5&lt;0.5,L5&lt;0.5)</f>
        <v>0</v>
      </c>
    </row>
    <row r="6" spans="1:14" x14ac:dyDescent="0.25">
      <c r="A6" s="1" t="s">
        <v>7</v>
      </c>
      <c r="B6" s="1" t="s">
        <v>8</v>
      </c>
      <c r="C6" s="2">
        <v>9</v>
      </c>
      <c r="D6" s="2">
        <v>16.5</v>
      </c>
      <c r="E6" s="1">
        <v>79</v>
      </c>
      <c r="F6" s="1">
        <v>1</v>
      </c>
      <c r="I6" s="5">
        <f t="shared" si="1"/>
        <v>0.9</v>
      </c>
      <c r="J6" s="5">
        <f t="shared" si="0"/>
        <v>0.82499999999999996</v>
      </c>
      <c r="K6" s="5">
        <f t="shared" si="0"/>
        <v>0.79</v>
      </c>
      <c r="L6" s="5">
        <f t="shared" si="0"/>
        <v>1</v>
      </c>
      <c r="N6" s="5" t="b">
        <f t="shared" si="2"/>
        <v>0</v>
      </c>
    </row>
    <row r="7" spans="1:14" x14ac:dyDescent="0.25">
      <c r="A7" s="1" t="s">
        <v>9</v>
      </c>
      <c r="B7" s="1" t="s">
        <v>10</v>
      </c>
      <c r="C7" s="2">
        <v>6</v>
      </c>
      <c r="D7" s="2">
        <v>17</v>
      </c>
      <c r="E7" s="1">
        <v>46</v>
      </c>
      <c r="F7" s="1">
        <v>1</v>
      </c>
      <c r="I7" s="5">
        <f t="shared" si="1"/>
        <v>0.6</v>
      </c>
      <c r="J7" s="5">
        <f t="shared" si="0"/>
        <v>0.85</v>
      </c>
      <c r="K7" s="5">
        <f t="shared" si="0"/>
        <v>0.46</v>
      </c>
      <c r="L7" s="5">
        <f t="shared" si="0"/>
        <v>1</v>
      </c>
      <c r="N7" s="5" t="b">
        <f t="shared" si="2"/>
        <v>1</v>
      </c>
    </row>
    <row r="8" spans="1:14" x14ac:dyDescent="0.25">
      <c r="A8" s="1" t="s">
        <v>11</v>
      </c>
      <c r="B8" s="1" t="s">
        <v>12</v>
      </c>
      <c r="C8" s="2">
        <v>8.5</v>
      </c>
      <c r="D8" s="2">
        <v>8</v>
      </c>
      <c r="E8" s="1">
        <v>64</v>
      </c>
      <c r="F8" s="1">
        <v>1</v>
      </c>
      <c r="I8" s="5">
        <f t="shared" si="1"/>
        <v>0.85</v>
      </c>
      <c r="J8" s="5">
        <f t="shared" si="0"/>
        <v>0.4</v>
      </c>
      <c r="K8" s="5">
        <f t="shared" si="0"/>
        <v>0.64</v>
      </c>
      <c r="L8" s="5">
        <f t="shared" si="0"/>
        <v>1</v>
      </c>
      <c r="N8" s="5" t="b">
        <f t="shared" si="2"/>
        <v>1</v>
      </c>
    </row>
    <row r="9" spans="1:14" x14ac:dyDescent="0.25">
      <c r="A9" s="1" t="s">
        <v>13</v>
      </c>
      <c r="B9" s="1" t="s">
        <v>14</v>
      </c>
      <c r="C9" s="2">
        <v>7</v>
      </c>
      <c r="D9" s="2">
        <v>10</v>
      </c>
      <c r="E9" s="1">
        <v>28</v>
      </c>
      <c r="F9" s="1">
        <v>1</v>
      </c>
      <c r="I9" s="5">
        <f t="shared" si="1"/>
        <v>0.7</v>
      </c>
      <c r="J9" s="5">
        <f t="shared" si="0"/>
        <v>0.5</v>
      </c>
      <c r="K9" s="5">
        <f t="shared" si="0"/>
        <v>0.28000000000000003</v>
      </c>
      <c r="L9" s="5">
        <f t="shared" si="0"/>
        <v>1</v>
      </c>
      <c r="N9" s="5" t="b">
        <f t="shared" si="2"/>
        <v>1</v>
      </c>
    </row>
    <row r="10" spans="1:14" x14ac:dyDescent="0.25">
      <c r="A10" s="1" t="s">
        <v>15</v>
      </c>
      <c r="B10" s="1" t="s">
        <v>16</v>
      </c>
      <c r="C10" s="2">
        <v>10</v>
      </c>
      <c r="D10" s="2">
        <v>11</v>
      </c>
      <c r="E10" s="1">
        <v>59</v>
      </c>
      <c r="F10" s="1">
        <v>1</v>
      </c>
      <c r="I10" s="5">
        <f t="shared" si="1"/>
        <v>1</v>
      </c>
      <c r="J10" s="5">
        <f t="shared" si="0"/>
        <v>0.55000000000000004</v>
      </c>
      <c r="K10" s="5">
        <f t="shared" si="0"/>
        <v>0.59</v>
      </c>
      <c r="L10" s="5">
        <f t="shared" si="0"/>
        <v>1</v>
      </c>
      <c r="N10" s="5" t="b">
        <f t="shared" si="2"/>
        <v>0</v>
      </c>
    </row>
    <row r="11" spans="1:14" x14ac:dyDescent="0.25">
      <c r="A11" s="1" t="s">
        <v>17</v>
      </c>
      <c r="B11" s="1" t="s">
        <v>18</v>
      </c>
      <c r="C11" s="2">
        <v>8</v>
      </c>
      <c r="D11" s="2">
        <v>14</v>
      </c>
      <c r="E11" s="1">
        <v>70</v>
      </c>
      <c r="F11" s="1">
        <v>1</v>
      </c>
      <c r="I11" s="5">
        <f t="shared" si="1"/>
        <v>0.8</v>
      </c>
      <c r="J11" s="5">
        <f t="shared" si="0"/>
        <v>0.7</v>
      </c>
      <c r="K11" s="5">
        <f t="shared" si="0"/>
        <v>0.7</v>
      </c>
      <c r="L11" s="5">
        <f t="shared" si="0"/>
        <v>1</v>
      </c>
      <c r="N11" s="5" t="b">
        <f t="shared" si="2"/>
        <v>0</v>
      </c>
    </row>
    <row r="12" spans="1:14" x14ac:dyDescent="0.25">
      <c r="A12" s="1" t="s">
        <v>19</v>
      </c>
      <c r="B12" s="1" t="s">
        <v>20</v>
      </c>
      <c r="C12" s="2">
        <v>6.5</v>
      </c>
      <c r="D12" s="2">
        <v>7</v>
      </c>
      <c r="E12" s="1">
        <v>88</v>
      </c>
      <c r="F12" s="1">
        <v>1</v>
      </c>
      <c r="I12" s="5">
        <f t="shared" si="1"/>
        <v>0.65</v>
      </c>
      <c r="J12" s="5">
        <f t="shared" si="0"/>
        <v>0.35</v>
      </c>
      <c r="K12" s="5">
        <f t="shared" si="0"/>
        <v>0.88</v>
      </c>
      <c r="L12" s="5">
        <f t="shared" si="0"/>
        <v>1</v>
      </c>
      <c r="N12" s="5" t="b">
        <f t="shared" si="2"/>
        <v>1</v>
      </c>
    </row>
    <row r="13" spans="1:14" x14ac:dyDescent="0.25">
      <c r="A13" s="1" t="s">
        <v>21</v>
      </c>
      <c r="B13" s="1" t="s">
        <v>22</v>
      </c>
      <c r="C13" s="2">
        <v>9.5</v>
      </c>
      <c r="D13" s="2">
        <v>15</v>
      </c>
      <c r="E13" s="1">
        <v>99</v>
      </c>
      <c r="F13" s="1">
        <v>0</v>
      </c>
      <c r="I13" s="5">
        <f t="shared" si="1"/>
        <v>0.95</v>
      </c>
      <c r="J13" s="5">
        <f t="shared" si="0"/>
        <v>0.75</v>
      </c>
      <c r="K13" s="5">
        <f t="shared" si="0"/>
        <v>0.99</v>
      </c>
      <c r="L13" s="5">
        <f t="shared" si="0"/>
        <v>0</v>
      </c>
      <c r="N13" s="5" t="b">
        <f t="shared" si="2"/>
        <v>1</v>
      </c>
    </row>
    <row r="14" spans="1:14" x14ac:dyDescent="0.25">
      <c r="A14" s="1" t="s">
        <v>8</v>
      </c>
      <c r="B14" s="1" t="s">
        <v>4</v>
      </c>
      <c r="C14" s="2">
        <v>7.5</v>
      </c>
      <c r="D14" s="2">
        <v>9.8000000000000007</v>
      </c>
      <c r="E14" s="1">
        <v>84</v>
      </c>
      <c r="F14" s="1">
        <v>1</v>
      </c>
      <c r="I14" s="5">
        <f t="shared" si="1"/>
        <v>0.75</v>
      </c>
      <c r="J14" s="5">
        <f t="shared" si="0"/>
        <v>0.49000000000000005</v>
      </c>
      <c r="K14" s="5">
        <f t="shared" si="0"/>
        <v>0.84</v>
      </c>
      <c r="L14" s="5">
        <f t="shared" si="0"/>
        <v>1</v>
      </c>
      <c r="N14" s="5" t="b">
        <f t="shared" si="2"/>
        <v>1</v>
      </c>
    </row>
    <row r="15" spans="1:14" x14ac:dyDescent="0.25">
      <c r="A15" s="1" t="s">
        <v>12</v>
      </c>
      <c r="B15" s="1" t="s">
        <v>23</v>
      </c>
      <c r="C15" s="2">
        <v>8</v>
      </c>
      <c r="D15" s="2">
        <v>7</v>
      </c>
      <c r="E15" s="1">
        <v>99</v>
      </c>
      <c r="F15" s="1">
        <v>1</v>
      </c>
      <c r="I15" s="5">
        <f t="shared" si="1"/>
        <v>0.8</v>
      </c>
      <c r="J15" s="5">
        <f t="shared" si="0"/>
        <v>0.35</v>
      </c>
      <c r="K15" s="5">
        <f t="shared" si="0"/>
        <v>0.99</v>
      </c>
      <c r="L15" s="5">
        <f t="shared" si="0"/>
        <v>1</v>
      </c>
      <c r="N15" s="5" t="b">
        <f t="shared" si="2"/>
        <v>1</v>
      </c>
    </row>
    <row r="16" spans="1:14" x14ac:dyDescent="0.25">
      <c r="A16" s="1" t="s">
        <v>24</v>
      </c>
      <c r="B16" s="1" t="s">
        <v>6</v>
      </c>
      <c r="C16" s="2">
        <v>8</v>
      </c>
      <c r="D16" s="2">
        <v>18</v>
      </c>
      <c r="E16" s="1">
        <v>89</v>
      </c>
      <c r="F16" s="1">
        <v>1</v>
      </c>
      <c r="I16" s="5">
        <f t="shared" si="1"/>
        <v>0.8</v>
      </c>
      <c r="J16" s="5">
        <f t="shared" si="0"/>
        <v>0.9</v>
      </c>
      <c r="K16" s="5">
        <f t="shared" si="0"/>
        <v>0.89</v>
      </c>
      <c r="L16" s="5">
        <f t="shared" si="0"/>
        <v>1</v>
      </c>
      <c r="N16" s="5" t="b">
        <f t="shared" si="2"/>
        <v>0</v>
      </c>
    </row>
    <row r="17" spans="1:14" x14ac:dyDescent="0.25">
      <c r="A17" s="1" t="s">
        <v>25</v>
      </c>
      <c r="B17" s="1" t="s">
        <v>10</v>
      </c>
      <c r="C17" s="2">
        <v>9</v>
      </c>
      <c r="D17" s="2">
        <v>5</v>
      </c>
      <c r="E17" s="1">
        <v>79</v>
      </c>
      <c r="F17" s="1">
        <v>1</v>
      </c>
      <c r="I17" s="5">
        <f t="shared" si="1"/>
        <v>0.9</v>
      </c>
      <c r="J17" s="5">
        <f t="shared" si="0"/>
        <v>0.25</v>
      </c>
      <c r="K17" s="5">
        <f t="shared" si="0"/>
        <v>0.79</v>
      </c>
      <c r="L17" s="5">
        <f t="shared" si="0"/>
        <v>1</v>
      </c>
      <c r="N17" s="5" t="b">
        <f t="shared" si="2"/>
        <v>1</v>
      </c>
    </row>
    <row r="18" spans="1:14" x14ac:dyDescent="0.25">
      <c r="A18" s="1" t="s">
        <v>23</v>
      </c>
      <c r="B18" s="1" t="s">
        <v>14</v>
      </c>
      <c r="C18" s="2">
        <v>7</v>
      </c>
      <c r="D18" s="2">
        <v>14</v>
      </c>
      <c r="E18" s="1">
        <v>69</v>
      </c>
      <c r="F18" s="1">
        <v>1</v>
      </c>
      <c r="I18" s="5">
        <f t="shared" si="1"/>
        <v>0.7</v>
      </c>
      <c r="J18" s="5">
        <f t="shared" si="0"/>
        <v>0.7</v>
      </c>
      <c r="K18" s="5">
        <f t="shared" si="0"/>
        <v>0.69</v>
      </c>
      <c r="L18" s="5">
        <f t="shared" si="0"/>
        <v>1</v>
      </c>
      <c r="N18" s="5" t="b">
        <f t="shared" si="2"/>
        <v>0</v>
      </c>
    </row>
    <row r="19" spans="1:14" x14ac:dyDescent="0.25">
      <c r="A19" s="1" t="s">
        <v>26</v>
      </c>
      <c r="B19" s="1" t="s">
        <v>8</v>
      </c>
      <c r="C19" s="2">
        <v>8.5</v>
      </c>
      <c r="D19" s="2">
        <v>7.5</v>
      </c>
      <c r="E19" s="1">
        <v>59</v>
      </c>
      <c r="F19" s="1">
        <v>1</v>
      </c>
      <c r="I19" s="5">
        <f t="shared" si="1"/>
        <v>0.85</v>
      </c>
      <c r="J19" s="5">
        <f t="shared" si="0"/>
        <v>0.375</v>
      </c>
      <c r="K19" s="5">
        <f t="shared" si="0"/>
        <v>0.59</v>
      </c>
      <c r="L19" s="5">
        <f t="shared" si="0"/>
        <v>1</v>
      </c>
      <c r="N19" s="5" t="b">
        <f t="shared" si="2"/>
        <v>1</v>
      </c>
    </row>
    <row r="20" spans="1:14" x14ac:dyDescent="0.25">
      <c r="A20" s="1" t="s">
        <v>27</v>
      </c>
      <c r="B20" s="1" t="s">
        <v>16</v>
      </c>
      <c r="C20" s="2">
        <v>10</v>
      </c>
      <c r="D20" s="2">
        <v>11.5</v>
      </c>
      <c r="E20" s="1">
        <v>60</v>
      </c>
      <c r="F20" s="1">
        <v>0</v>
      </c>
      <c r="I20" s="5">
        <f t="shared" si="1"/>
        <v>1</v>
      </c>
      <c r="J20" s="5">
        <f t="shared" ref="J20:J23" si="3">D20/D$2</f>
        <v>0.57499999999999996</v>
      </c>
      <c r="K20" s="5">
        <f t="shared" ref="K20:K23" si="4">E20/E$2</f>
        <v>0.6</v>
      </c>
      <c r="L20" s="5">
        <f t="shared" ref="L20:L23" si="5">F20/F$2</f>
        <v>0</v>
      </c>
      <c r="N20" s="5" t="b">
        <f t="shared" si="2"/>
        <v>1</v>
      </c>
    </row>
    <row r="21" spans="1:14" x14ac:dyDescent="0.25">
      <c r="A21" s="1" t="s">
        <v>28</v>
      </c>
      <c r="B21" s="1" t="s">
        <v>18</v>
      </c>
      <c r="C21" s="2">
        <v>6</v>
      </c>
      <c r="D21" s="2">
        <v>16</v>
      </c>
      <c r="E21" s="1">
        <v>44</v>
      </c>
      <c r="F21" s="1">
        <v>1</v>
      </c>
      <c r="I21" s="5">
        <f t="shared" si="1"/>
        <v>0.6</v>
      </c>
      <c r="J21" s="5">
        <f t="shared" si="3"/>
        <v>0.8</v>
      </c>
      <c r="K21" s="5">
        <f t="shared" si="4"/>
        <v>0.44</v>
      </c>
      <c r="L21" s="5">
        <f t="shared" si="5"/>
        <v>1</v>
      </c>
      <c r="N21" s="5" t="b">
        <f t="shared" si="2"/>
        <v>1</v>
      </c>
    </row>
    <row r="22" spans="1:14" x14ac:dyDescent="0.25">
      <c r="A22" s="1" t="s">
        <v>29</v>
      </c>
      <c r="B22" s="1" t="s">
        <v>22</v>
      </c>
      <c r="C22" s="2">
        <v>7.5</v>
      </c>
      <c r="D22" s="2">
        <v>17</v>
      </c>
      <c r="E22" s="1">
        <v>78</v>
      </c>
      <c r="F22" s="1">
        <v>1</v>
      </c>
      <c r="I22" s="5">
        <f t="shared" si="1"/>
        <v>0.75</v>
      </c>
      <c r="J22" s="5">
        <f t="shared" si="3"/>
        <v>0.85</v>
      </c>
      <c r="K22" s="5">
        <f t="shared" si="4"/>
        <v>0.78</v>
      </c>
      <c r="L22" s="5">
        <f t="shared" si="5"/>
        <v>1</v>
      </c>
      <c r="N22" s="5" t="b">
        <f t="shared" si="2"/>
        <v>0</v>
      </c>
    </row>
    <row r="23" spans="1:14" x14ac:dyDescent="0.25">
      <c r="A23" s="1" t="s">
        <v>30</v>
      </c>
      <c r="B23" s="1" t="s">
        <v>20</v>
      </c>
      <c r="C23" s="2">
        <v>9</v>
      </c>
      <c r="D23" s="2">
        <v>9</v>
      </c>
      <c r="E23" s="1">
        <v>77</v>
      </c>
      <c r="F23" s="1">
        <v>1</v>
      </c>
      <c r="I23" s="5">
        <f t="shared" si="1"/>
        <v>0.9</v>
      </c>
      <c r="J23" s="5">
        <f t="shared" si="3"/>
        <v>0.45</v>
      </c>
      <c r="K23" s="5">
        <f t="shared" si="4"/>
        <v>0.77</v>
      </c>
      <c r="L23" s="5">
        <f t="shared" si="5"/>
        <v>1</v>
      </c>
      <c r="N23" s="5" t="b">
        <f t="shared" si="2"/>
        <v>1</v>
      </c>
    </row>
    <row r="25" spans="1:14" x14ac:dyDescent="0.25">
      <c r="A25" t="s">
        <v>37</v>
      </c>
      <c r="C25">
        <f>MAX(C4:C23)</f>
        <v>10</v>
      </c>
      <c r="D25">
        <f t="shared" ref="D25:F25" si="6">MAX(D4:D23)</f>
        <v>18</v>
      </c>
      <c r="E25">
        <f t="shared" si="6"/>
        <v>99</v>
      </c>
      <c r="F25">
        <f t="shared" si="6"/>
        <v>1</v>
      </c>
      <c r="I25" s="5">
        <f>MAX(I4:I23)</f>
        <v>1</v>
      </c>
      <c r="J25" s="5">
        <f t="shared" ref="J25:L25" si="7">MAX(J4:J23)</f>
        <v>0.9</v>
      </c>
      <c r="K25" s="5">
        <f t="shared" si="7"/>
        <v>0.99</v>
      </c>
      <c r="L25" s="5">
        <f t="shared" si="7"/>
        <v>1</v>
      </c>
    </row>
    <row r="26" spans="1:14" x14ac:dyDescent="0.25">
      <c r="A26" t="s">
        <v>38</v>
      </c>
      <c r="C26">
        <f>MIN(C4:C23)</f>
        <v>6</v>
      </c>
      <c r="D26">
        <f t="shared" ref="D26:F26" si="8">MIN(D4:D23)</f>
        <v>5</v>
      </c>
      <c r="E26">
        <f t="shared" si="8"/>
        <v>28</v>
      </c>
      <c r="F26">
        <f t="shared" si="8"/>
        <v>0</v>
      </c>
      <c r="I26" s="5">
        <f>MIN(I4:I23)</f>
        <v>0.6</v>
      </c>
      <c r="J26" s="5">
        <f t="shared" ref="J26:L26" si="9">MIN(J4:J23)</f>
        <v>0.25</v>
      </c>
      <c r="K26" s="5">
        <f t="shared" si="9"/>
        <v>0.28000000000000003</v>
      </c>
      <c r="L26" s="5">
        <f t="shared" si="9"/>
        <v>0</v>
      </c>
    </row>
    <row r="27" spans="1:14" x14ac:dyDescent="0.25">
      <c r="A27" t="s">
        <v>39</v>
      </c>
      <c r="C27">
        <f>AVERAGE(C4:C23)</f>
        <v>8.125</v>
      </c>
      <c r="D27">
        <f t="shared" ref="D27:F27" si="10">AVERAGE(D4:D23)</f>
        <v>12.440000000000001</v>
      </c>
      <c r="E27">
        <f t="shared" si="10"/>
        <v>72.2</v>
      </c>
      <c r="F27">
        <f t="shared" si="10"/>
        <v>0.9</v>
      </c>
      <c r="I27" s="5">
        <f>AVERAGE(I4:I23)</f>
        <v>0.8125</v>
      </c>
      <c r="J27" s="5">
        <f t="shared" ref="J27:L27" si="11">AVERAGE(J4:J23)</f>
        <v>0.62199999999999989</v>
      </c>
      <c r="K27" s="5">
        <f t="shared" si="11"/>
        <v>0.72199999999999986</v>
      </c>
      <c r="L27" s="5">
        <f t="shared" si="11"/>
        <v>0.9</v>
      </c>
    </row>
  </sheetData>
  <conditionalFormatting sqref="C4:C23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3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3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3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4:L23 N4:N23">
    <cfRule type="cellIs" dxfId="2" priority="2" operator="lessThan">
      <formula>0.5</formula>
    </cfRule>
  </conditionalFormatting>
  <conditionalFormatting sqref="N4:N23">
    <cfRule type="cellIs" dxfId="0" priority="1" operator="equal">
      <formula>TRUE</formula>
    </cfRule>
  </conditionalFormatting>
  <pageMargins left="0.7" right="0.7" top="0.75" bottom="0.75" header="0.3" footer="0.3"/>
  <pageSetup scale="4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 tariq</dc:creator>
  <cp:lastModifiedBy>afreen tariq</cp:lastModifiedBy>
  <cp:lastPrinted>2026-08-30T08:00:21Z</cp:lastPrinted>
  <dcterms:created xsi:type="dcterms:W3CDTF">2026-08-30T07:19:38Z</dcterms:created>
  <dcterms:modified xsi:type="dcterms:W3CDTF">2026-08-30T08:52:09Z</dcterms:modified>
</cp:coreProperties>
</file>